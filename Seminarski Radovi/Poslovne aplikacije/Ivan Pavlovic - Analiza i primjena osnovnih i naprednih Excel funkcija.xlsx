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osl Apk zad\"/>
    </mc:Choice>
  </mc:AlternateContent>
  <xr:revisionPtr revIDLastSave="0" documentId="13_ncr:1_{309348A1-D0D1-4E00-A3ED-BBCA8F765DAC}" xr6:coauthVersionLast="47" xr6:coauthVersionMax="47" xr10:uidLastSave="{00000000-0000-0000-0000-000000000000}"/>
  <bookViews>
    <workbookView xWindow="-120" yWindow="-120" windowWidth="29040" windowHeight="15720" xr2:uid="{91765EBC-252A-405C-8C22-1CD0A4E68499}"/>
  </bookViews>
  <sheets>
    <sheet name="Uvod" sheetId="1" r:id="rId1"/>
    <sheet name="SUM funkcija" sheetId="2" r:id="rId2"/>
    <sheet name="AVERAGE funkcija" sheetId="3" r:id="rId3"/>
    <sheet name="ROUND funkcija" sheetId="4" r:id="rId4"/>
    <sheet name="POWER funkcija" sheetId="5" r:id="rId5"/>
    <sheet name="SQRT funkcija" sheetId="6" r:id="rId6"/>
    <sheet name="CONCATENATE funkcija" sheetId="7" r:id="rId7"/>
    <sheet name="UPPER funkcija" sheetId="8" r:id="rId8"/>
    <sheet name="LOWER funkcija" sheetId="9" r:id="rId9"/>
    <sheet name="NOW funkcija" sheetId="10" r:id="rId10"/>
    <sheet name="IF funkcija" sheetId="11" r:id="rId11"/>
    <sheet name="Finalni zadatak sa 5 funkcija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2" i="13"/>
  <c r="F5" i="13"/>
  <c r="F4" i="13"/>
  <c r="F3" i="13"/>
  <c r="F2" i="13"/>
  <c r="E5" i="13"/>
  <c r="E4" i="13"/>
  <c r="E3" i="13"/>
  <c r="E2" i="13"/>
  <c r="D5" i="13"/>
  <c r="D4" i="13"/>
  <c r="D3" i="13"/>
  <c r="D2" i="13"/>
  <c r="C5" i="13"/>
  <c r="C4" i="13"/>
  <c r="C3" i="13"/>
  <c r="C2" i="13"/>
  <c r="C2" i="11"/>
  <c r="C3" i="11"/>
  <c r="C4" i="11"/>
  <c r="C5" i="11"/>
  <c r="A2" i="10"/>
  <c r="B2" i="9"/>
  <c r="B3" i="9"/>
  <c r="B4" i="9"/>
  <c r="B5" i="9"/>
  <c r="B6" i="9"/>
  <c r="B2" i="8"/>
  <c r="B3" i="8"/>
  <c r="B4" i="8"/>
  <c r="B5" i="8"/>
  <c r="B6" i="8"/>
  <c r="B7" i="8"/>
  <c r="C2" i="7"/>
  <c r="C3" i="7"/>
  <c r="C4" i="7"/>
  <c r="B2" i="6"/>
  <c r="B3" i="6"/>
  <c r="B4" i="6"/>
  <c r="B5" i="6"/>
  <c r="C2" i="5"/>
  <c r="C3" i="5"/>
  <c r="C4" i="5"/>
  <c r="C5" i="5"/>
  <c r="C2" i="4"/>
  <c r="C3" i="4"/>
  <c r="C4" i="4"/>
  <c r="C5" i="4"/>
  <c r="B8" i="3"/>
  <c r="B14" i="2"/>
</calcChain>
</file>

<file path=xl/sharedStrings.xml><?xml version="1.0" encoding="utf-8"?>
<sst xmlns="http://schemas.openxmlformats.org/spreadsheetml/2006/main" count="91" uniqueCount="78">
  <si>
    <t>Ime</t>
  </si>
  <si>
    <t>Prezime</t>
  </si>
  <si>
    <t>Br. Indeksa</t>
  </si>
  <si>
    <t>Nastavni Predmet</t>
  </si>
  <si>
    <t>Tema seminarskog rada</t>
  </si>
  <si>
    <t>Funkcije koristene u Excel-u</t>
  </si>
  <si>
    <t>Ivan</t>
  </si>
  <si>
    <t>Pavlović</t>
  </si>
  <si>
    <t>92-20 R-ITP-S</t>
  </si>
  <si>
    <t>Poslovne aplikacije</t>
  </si>
  <si>
    <t>Analiza i primjena osnovnih i naprednih Excel funkcija</t>
  </si>
  <si>
    <t>SUM, AVERAGE, ROUND, POWER, SQRT, CONCATENATE, UPPER, LOWER, NOW, IF</t>
  </si>
  <si>
    <t>Mjesec</t>
  </si>
  <si>
    <t>Troškovi</t>
  </si>
  <si>
    <t>Januar</t>
  </si>
  <si>
    <t>Februar</t>
  </si>
  <si>
    <t>Mart</t>
  </si>
  <si>
    <t>April</t>
  </si>
  <si>
    <t>Maj</t>
  </si>
  <si>
    <t>Avgust</t>
  </si>
  <si>
    <t>Septembar</t>
  </si>
  <si>
    <t>Oktobar</t>
  </si>
  <si>
    <t>Novembar</t>
  </si>
  <si>
    <t>Decembar</t>
  </si>
  <si>
    <t>Jun</t>
  </si>
  <si>
    <t>Jul</t>
  </si>
  <si>
    <t>Ukupni Godišnji troškovi:</t>
  </si>
  <si>
    <t>Ime studenta</t>
  </si>
  <si>
    <t>Ocjena</t>
  </si>
  <si>
    <t>Marko</t>
  </si>
  <si>
    <t>Ana</t>
  </si>
  <si>
    <t>Jelena</t>
  </si>
  <si>
    <t>Petar</t>
  </si>
  <si>
    <t>Luka</t>
  </si>
  <si>
    <t>Ivana</t>
  </si>
  <si>
    <t>Prosječna ocjena:</t>
  </si>
  <si>
    <t>Iznos Plate</t>
  </si>
  <si>
    <t>Ivan Pavlovic</t>
  </si>
  <si>
    <t>Marko Kremenovic</t>
  </si>
  <si>
    <t>Milorad Dodik</t>
  </si>
  <si>
    <t>Radovan Karadzic</t>
  </si>
  <si>
    <t>Ime i Prezime zaposlenog</t>
  </si>
  <si>
    <t>Zaokružene plate</t>
  </si>
  <si>
    <t>Broj (osnova)</t>
  </si>
  <si>
    <t>Stepen</t>
  </si>
  <si>
    <t>Rezultat stepenovanja</t>
  </si>
  <si>
    <t>Broj</t>
  </si>
  <si>
    <t>Kvadratni korijen</t>
  </si>
  <si>
    <t>Kovač</t>
  </si>
  <si>
    <t>Petrović</t>
  </si>
  <si>
    <t>Puno Ime i Prezime</t>
  </si>
  <si>
    <t>Tekst</t>
  </si>
  <si>
    <t>Marko Kovač</t>
  </si>
  <si>
    <t>Ana petrović</t>
  </si>
  <si>
    <t>Velika slova</t>
  </si>
  <si>
    <t>Petar Pan</t>
  </si>
  <si>
    <t>Aca Smrkas</t>
  </si>
  <si>
    <t>Zoran Avramovic</t>
  </si>
  <si>
    <t>MARKO KOVAČ</t>
  </si>
  <si>
    <t>ANA PETROVIĆ</t>
  </si>
  <si>
    <t>Mala slova</t>
  </si>
  <si>
    <t>IVAN PAVLOVIC</t>
  </si>
  <si>
    <t>SVETI PETAR</t>
  </si>
  <si>
    <t>KIM JONG UN</t>
  </si>
  <si>
    <t>Trenutni datum i vrijeme</t>
  </si>
  <si>
    <t>Položen Ispit?</t>
  </si>
  <si>
    <t>Prosijek</t>
  </si>
  <si>
    <t>Ime i Prezime</t>
  </si>
  <si>
    <t>Ivan Pavlović</t>
  </si>
  <si>
    <t>Marko Kremenović</t>
  </si>
  <si>
    <t>Osnovna Plata (KM)</t>
  </si>
  <si>
    <t>Mile Kitić</t>
  </si>
  <si>
    <t>Aca Lukas</t>
  </si>
  <si>
    <t>Plata zaokružena</t>
  </si>
  <si>
    <t>Plata na kvadrat</t>
  </si>
  <si>
    <t>Korijen plate</t>
  </si>
  <si>
    <t>Bonus</t>
  </si>
  <si>
    <t>Ukupna plata sa bonusom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</si>
</sst>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2" borderId="0" xfId="0" applyFill="1"/>
    <xf numFmtId="0" fontId="2" fillId="0" borderId="0" xfId="0" applyFont="1" applyAlignment="1">
      <alignment vertical="center" wrapText="1"/>
    </xf>
    <xf numFmtId="2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58"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7" formatCode="m/d/yyyy\ h:mm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BA"/>
              <a:t>Ocjene studenata u grafikonu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'AVERAGE funkcija'!$B$2:$B$7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10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9-4ADF-AFAE-26570B8E7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883248"/>
        <c:axId val="900869328"/>
      </c:barChart>
      <c:catAx>
        <c:axId val="90088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69328"/>
        <c:crosses val="autoZero"/>
        <c:auto val="1"/>
        <c:lblAlgn val="ctr"/>
        <c:lblOffset val="100"/>
        <c:noMultiLvlLbl val="0"/>
      </c:catAx>
      <c:valAx>
        <c:axId val="90086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8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0</xdr:rowOff>
    </xdr:from>
    <xdr:to>
      <xdr:col>9</xdr:col>
      <xdr:colOff>485775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27F9F-25B7-191F-1BC2-C5CF2C54D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052509-1339-4747-A7FD-7BDCCEC9E13B}" name="Table2" displayName="Table2" ref="A1:F2" totalsRowShown="0" headerRowDxfId="57" dataDxfId="56">
  <autoFilter ref="A1:F2" xr:uid="{3D052509-1339-4747-A7FD-7BDCCEC9E13B}"/>
  <tableColumns count="6">
    <tableColumn id="1" xr3:uid="{EE141495-EAA9-47F5-B620-4A081CA099AC}" name="Ime" dataDxfId="55"/>
    <tableColumn id="2" xr3:uid="{F906C8E7-281C-4215-87B4-C741F2C486B1}" name="Prezime" dataDxfId="54"/>
    <tableColumn id="3" xr3:uid="{10BD32EA-33ED-42E7-B7D7-5A0628355900}" name="Br. Indeksa" dataDxfId="53"/>
    <tableColumn id="4" xr3:uid="{40177D4C-0D4A-43C6-8F68-8CA5FB6D7389}" name="Nastavni Predmet" dataDxfId="52"/>
    <tableColumn id="5" xr3:uid="{A5A77684-54AF-4907-8349-060011CB0734}" name="Tema seminarskog rada" dataDxfId="51"/>
    <tableColumn id="6" xr3:uid="{C465CC38-3612-4280-BA1B-054734AA3B38}" name="Funkcije koristene u Excel-u" dataDxfId="5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BF7668-BBF6-4483-A2F8-F05948C65C71}" name="Table4" displayName="Table4" ref="A1:B14" totalsRowShown="0" headerRowDxfId="49" dataDxfId="48">
  <autoFilter ref="A1:B14" xr:uid="{68BF7668-BBF6-4483-A2F8-F05948C65C71}"/>
  <tableColumns count="2">
    <tableColumn id="1" xr3:uid="{8345CDC3-AC03-4E57-8833-0B2B5F95CD37}" name="Mjesec" dataDxfId="47"/>
    <tableColumn id="2" xr3:uid="{57BE15B9-F477-44FF-81BE-14F4BC17E7B1}" name="Troškovi" dataDxfId="4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E1AC27-879E-4DB0-AC05-060F22F2C0CA}" name="Table5" displayName="Table5" ref="A1:B8" totalsRowCount="1" headerRowDxfId="45">
  <autoFilter ref="A1:B7" xr:uid="{72E1AC27-879E-4DB0-AC05-060F22F2C0CA}"/>
  <tableColumns count="2">
    <tableColumn id="1" xr3:uid="{D593CFC0-0849-45F7-BD0D-7C5447F9580C}" name="Ime studenta" totalsRowLabel="Prosječna ocjena:" dataDxfId="44" totalsRowDxfId="43"/>
    <tableColumn id="2" xr3:uid="{11A2CC00-563E-4AFD-AB89-6CA095743B8A}" name="Ocjena" totalsRowFunction="custom" dataDxfId="42" totalsRowDxfId="41">
      <totalsRowFormula>AVERAGE(B2:B7)</totalsRow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F433F0-DDF8-4326-B719-A28A5E0429E4}" name="Table6" displayName="Table6" ref="A1:C5" totalsRowShown="0" headerRowDxfId="40" dataDxfId="39">
  <autoFilter ref="A1:C5" xr:uid="{2DF433F0-DDF8-4326-B719-A28A5E0429E4}"/>
  <tableColumns count="3">
    <tableColumn id="1" xr3:uid="{0E717544-08C8-43E2-A840-BFB48B3EDC61}" name="Ime i Prezime zaposlenog" dataDxfId="38"/>
    <tableColumn id="2" xr3:uid="{EB2A9FAB-B5CA-4630-BF06-AAB6C63DA71C}" name="Iznos Plate" dataDxfId="37"/>
    <tableColumn id="3" xr3:uid="{9DA05B1C-1ADE-457D-948D-4130D02EC759}" name="Zaokružene plate" dataDxfId="36">
      <calculatedColumnFormula>ROUND(B2, 0)</calculatedColumnFormula>
    </tableColumn>
  </tableColumns>
  <tableStyleInfo name="TableStyleDark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2A677C-BEF8-434B-A33F-6C45039754B0}" name="Table7" displayName="Table7" ref="A1:C5" totalsRowShown="0" headerRowDxfId="35">
  <autoFilter ref="A1:C5" xr:uid="{952A677C-BEF8-434B-A33F-6C45039754B0}"/>
  <tableColumns count="3">
    <tableColumn id="1" xr3:uid="{0A51D630-EB85-4C4B-B5CC-D95C54284209}" name="Broj (osnova)" dataDxfId="34"/>
    <tableColumn id="2" xr3:uid="{48AE9DCC-4BF5-4646-9ED7-1911A5F0876E}" name="Stepen" dataDxfId="33"/>
    <tableColumn id="3" xr3:uid="{5A394AA8-CC33-487C-B3CB-FD9F65817A54}" name="Rezultat stepenovanja" dataDxfId="32">
      <calculatedColumnFormula>POWER(A2, B2)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36FAEE-6F23-4DC3-8FA5-CAD056BFBBA2}" name="Table8" displayName="Table8" ref="A1:B5" totalsRowShown="0" headerRowDxfId="31">
  <autoFilter ref="A1:B5" xr:uid="{3436FAEE-6F23-4DC3-8FA5-CAD056BFBBA2}"/>
  <tableColumns count="2">
    <tableColumn id="1" xr3:uid="{19DB9C02-5B19-4AA9-9310-B9F48247F388}" name="Broj" dataDxfId="30"/>
    <tableColumn id="2" xr3:uid="{293EB7E3-B4D0-4E7D-9310-8F5F1D9DF2CF}" name="Kvadratni korijen" dataDxfId="29">
      <calculatedColumnFormula>SQRT(A2)</calculatedColumnFormula>
    </tableColumn>
  </tableColumns>
  <tableStyleInfo name="TableStyleLight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C2CF47-2F64-4F99-A20E-6C3E3FB458B3}" name="Table9" displayName="Table9" ref="A1:C4" totalsRowShown="0" headerRowDxfId="28" dataDxfId="27">
  <autoFilter ref="A1:C4" xr:uid="{76C2CF47-2F64-4F99-A20E-6C3E3FB458B3}"/>
  <tableColumns count="3">
    <tableColumn id="1" xr3:uid="{93661E12-7267-4095-BAB3-1BE9164EF254}" name="Ime" dataDxfId="26"/>
    <tableColumn id="2" xr3:uid="{0A5EA266-E345-491B-8442-ECC272A0D6E2}" name="Prezime" dataDxfId="25"/>
    <tableColumn id="3" xr3:uid="{91607C70-FBC9-4953-B39C-10DEF0D4C17C}" name="Puno Ime i Prezime" dataDxfId="24">
      <calculatedColumnFormula>CONCATENATE(A2," ",B2)</calculatedColumnFormula>
    </tableColumn>
  </tableColumns>
  <tableStyleInfo name="TableStyleDark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658ADCF-C056-44F6-813B-3ADFAF5090E8}" name="Table10" displayName="Table10" ref="A1:B7" totalsRowShown="0" headerRowDxfId="23">
  <autoFilter ref="A1:B7" xr:uid="{3658ADCF-C056-44F6-813B-3ADFAF5090E8}"/>
  <tableColumns count="2">
    <tableColumn id="1" xr3:uid="{55910B5B-0231-4EF0-A8A9-EEEA3CDD11DB}" name="Tekst" dataDxfId="22"/>
    <tableColumn id="2" xr3:uid="{883B3FC7-81C7-43C4-802F-D960267E996B}" name="Velika slova" dataDxfId="21">
      <calculatedColumnFormula>UPPER(A2)</calculatedColumnFormula>
    </tableColumn>
  </tableColumns>
  <tableStyleInfo name="TableStyleDark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D63844-A8FC-446F-923F-C7176F56C367}" name="Table11" displayName="Table11" ref="A1:B6" totalsRowShown="0" headerRowDxfId="20" dataDxfId="19">
  <autoFilter ref="A1:B6" xr:uid="{AFD63844-A8FC-446F-923F-C7176F56C367}"/>
  <tableColumns count="2">
    <tableColumn id="1" xr3:uid="{1E289F74-0BBA-41A8-B8B9-EB92A6C5D93B}" name="Tekst" dataDxfId="18"/>
    <tableColumn id="2" xr3:uid="{2FB6E1AC-859E-4FBE-9A0E-9ECEAFB3F536}" name="Mala slova" dataDxfId="17">
      <calculatedColumnFormula>LOWER(A2)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3D1120-10FE-46A1-843B-9996EB7A8A47}" name="Table12" displayName="Table12" ref="A1:A2" totalsRowShown="0" headerRowDxfId="16" dataDxfId="15">
  <autoFilter ref="A1:A2" xr:uid="{E03D1120-10FE-46A1-843B-9996EB7A8A47}"/>
  <tableColumns count="1">
    <tableColumn id="1" xr3:uid="{E7E98529-1FC7-4464-9227-B1BE2A11C8FE}" name="Trenutni datum i vrijeme" dataDxfId="14">
      <calculatedColumnFormula>NOW()</calculatedColumnFormula>
    </tableColumn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1FFCC6B-0D4A-4F00-A50A-7CA85DA50E06}" name="Table13" displayName="Table13" ref="A1:C5" totalsRowShown="0" headerRowDxfId="13" dataDxfId="12">
  <autoFilter ref="A1:C5" xr:uid="{21FFCC6B-0D4A-4F00-A50A-7CA85DA50E06}"/>
  <tableColumns count="3">
    <tableColumn id="1" xr3:uid="{D2A3E6C6-5C87-4E43-B8D1-C34E9C87F6C9}" name="Ime" dataDxfId="11"/>
    <tableColumn id="2" xr3:uid="{CD62CE43-84AC-4040-9407-8C6DB15B72E4}" name="Prosijek" dataDxfId="10"/>
    <tableColumn id="3" xr3:uid="{4022B231-1D04-4D1F-9448-B37FD3EBB8C4}" name="Položen Ispit?" dataDxfId="9">
      <calculatedColumnFormula>IF(B2&gt;=6,"Da","Ne")</calculatedColumnFormula>
    </tableColumn>
  </tableColumns>
  <tableStyleInfo name="TableStyleDark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76D469-9F66-461C-920B-F75A29177636}" name="Table15" displayName="Table15" ref="A1:G5" totalsRowShown="0" headerRowDxfId="8" dataDxfId="7">
  <autoFilter ref="A1:G5" xr:uid="{2776D469-9F66-461C-920B-F75A29177636}"/>
  <tableColumns count="7">
    <tableColumn id="1" xr3:uid="{538B8323-EF1C-471D-BE63-63364E9B29E0}" name="Ime i Prezime" dataDxfId="6"/>
    <tableColumn id="2" xr3:uid="{7A4F8C79-B8B9-4559-89A0-2D99A9F8713D}" name="Osnovna Plata (KM)" dataDxfId="5"/>
    <tableColumn id="3" xr3:uid="{91A73EC2-1AA3-4E3F-93E7-478594AF879F}" name="Plata zaokružena" dataDxfId="4"/>
    <tableColumn id="4" xr3:uid="{BD40D1F4-E7E4-462D-A4EB-583410C51C18}" name="Plata na kvadrat" dataDxfId="3">
      <calculatedColumnFormula>POWER(C2, 2)</calculatedColumnFormula>
    </tableColumn>
    <tableColumn id="5" xr3:uid="{17413D4B-4E21-4A67-8759-15501697F31C}" name="Korijen plate" dataDxfId="2">
      <calculatedColumnFormula>SQRT(B2)</calculatedColumnFormula>
    </tableColumn>
    <tableColumn id="6" xr3:uid="{A675A4D9-5758-40B0-A0E6-CC70757EA6F2}" name="Bonus" dataDxfId="1">
      <calculatedColumnFormula>IF(B2&gt;2000, 520, 0)</calculatedColumnFormula>
    </tableColumn>
    <tableColumn id="7" xr3:uid="{7A0DA828-1B83-4B82-B05A-42CF161961A5}" name="Ukupna plata sa bonusom" dataDxfId="0">
      <calculatedColumnFormula>ROUNDUP(B2+F2, 0)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EB8F-C23C-4796-8E04-36E9625219EC}">
  <dimension ref="A1:G2"/>
  <sheetViews>
    <sheetView tabSelected="1" workbookViewId="0">
      <selection activeCell="A3" sqref="A3"/>
    </sheetView>
  </sheetViews>
  <sheetFormatPr defaultRowHeight="15"/>
  <cols>
    <col min="1" max="2" width="18.28515625" customWidth="1"/>
    <col min="3" max="3" width="18.140625" customWidth="1"/>
    <col min="4" max="4" width="19" customWidth="1"/>
    <col min="5" max="5" width="27.7109375" customWidth="1"/>
    <col min="6" max="6" width="27.85546875" customWidth="1"/>
    <col min="7" max="7" width="18.140625" customWidth="1"/>
  </cols>
  <sheetData>
    <row r="1" spans="1:7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spans="1:7" ht="6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4EDF-4D63-4230-9351-C143AECEE331}">
  <dimension ref="A1:B14"/>
  <sheetViews>
    <sheetView workbookViewId="0">
      <selection activeCell="C15" sqref="C15"/>
    </sheetView>
  </sheetViews>
  <sheetFormatPr defaultRowHeight="15"/>
  <cols>
    <col min="1" max="1" width="26.85546875" customWidth="1"/>
    <col min="2" max="2" width="18.140625" customWidth="1"/>
  </cols>
  <sheetData>
    <row r="1" spans="1:2" ht="29.25" customHeight="1">
      <c r="A1" s="2" t="s">
        <v>12</v>
      </c>
      <c r="B1" s="2" t="s">
        <v>13</v>
      </c>
    </row>
    <row r="2" spans="1:2">
      <c r="A2" s="4" t="s">
        <v>14</v>
      </c>
      <c r="B2" s="4">
        <v>120</v>
      </c>
    </row>
    <row r="3" spans="1:2">
      <c r="A3" s="4" t="s">
        <v>15</v>
      </c>
      <c r="B3" s="4">
        <v>150</v>
      </c>
    </row>
    <row r="4" spans="1:2">
      <c r="A4" s="4" t="s">
        <v>16</v>
      </c>
      <c r="B4" s="4">
        <v>130</v>
      </c>
    </row>
    <row r="5" spans="1:2">
      <c r="A5" s="4" t="s">
        <v>17</v>
      </c>
      <c r="B5" s="4">
        <v>160</v>
      </c>
    </row>
    <row r="6" spans="1:2">
      <c r="A6" s="4" t="s">
        <v>18</v>
      </c>
      <c r="B6" s="4">
        <v>140</v>
      </c>
    </row>
    <row r="7" spans="1:2">
      <c r="A7" s="4" t="s">
        <v>24</v>
      </c>
      <c r="B7" s="4">
        <v>110</v>
      </c>
    </row>
    <row r="8" spans="1:2">
      <c r="A8" s="4" t="s">
        <v>25</v>
      </c>
      <c r="B8" s="4">
        <v>125</v>
      </c>
    </row>
    <row r="9" spans="1:2">
      <c r="A9" s="4" t="s">
        <v>19</v>
      </c>
      <c r="B9" s="4">
        <v>135</v>
      </c>
    </row>
    <row r="10" spans="1:2">
      <c r="A10" s="4" t="s">
        <v>20</v>
      </c>
      <c r="B10" s="4">
        <v>145</v>
      </c>
    </row>
    <row r="11" spans="1:2">
      <c r="A11" s="4" t="s">
        <v>21</v>
      </c>
      <c r="B11" s="4">
        <v>155</v>
      </c>
    </row>
    <row r="12" spans="1:2">
      <c r="A12" s="4" t="s">
        <v>22</v>
      </c>
      <c r="B12" s="4">
        <v>115</v>
      </c>
    </row>
    <row r="13" spans="1:2">
      <c r="A13" s="4" t="s">
        <v>23</v>
      </c>
      <c r="B13" s="4">
        <v>170</v>
      </c>
    </row>
    <row r="14" spans="1:2">
      <c r="A14" s="4" t="s">
        <v>26</v>
      </c>
      <c r="B14" s="7">
        <f>SUM(B2:B13)</f>
        <v>1655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513C-4C6C-4DE6-83AD-F1D957108CD2}">
  <dimension ref="A1:B8"/>
  <sheetViews>
    <sheetView workbookViewId="0">
      <selection activeCell="E24" sqref="E24"/>
    </sheetView>
  </sheetViews>
  <sheetFormatPr defaultRowHeight="15"/>
  <cols>
    <col min="1" max="1" width="18.28515625" customWidth="1"/>
    <col min="2" max="2" width="18.140625" customWidth="1"/>
  </cols>
  <sheetData>
    <row r="1" spans="1:2" ht="30" customHeight="1">
      <c r="A1" s="5" t="s">
        <v>27</v>
      </c>
      <c r="B1" s="5" t="s">
        <v>28</v>
      </c>
    </row>
    <row r="2" spans="1:2">
      <c r="A2" s="2" t="s">
        <v>29</v>
      </c>
      <c r="B2" s="6">
        <v>8</v>
      </c>
    </row>
    <row r="3" spans="1:2">
      <c r="A3" s="2" t="s">
        <v>30</v>
      </c>
      <c r="B3" s="6">
        <v>9</v>
      </c>
    </row>
    <row r="4" spans="1:2">
      <c r="A4" s="2" t="s">
        <v>31</v>
      </c>
      <c r="B4" s="6">
        <v>7</v>
      </c>
    </row>
    <row r="5" spans="1:2">
      <c r="A5" s="2" t="s">
        <v>32</v>
      </c>
      <c r="B5" s="6">
        <v>6</v>
      </c>
    </row>
    <row r="6" spans="1:2">
      <c r="A6" s="2" t="s">
        <v>33</v>
      </c>
      <c r="B6" s="6">
        <v>10</v>
      </c>
    </row>
    <row r="7" spans="1:2">
      <c r="A7" s="2" t="s">
        <v>34</v>
      </c>
      <c r="B7" s="6">
        <v>8</v>
      </c>
    </row>
    <row r="8" spans="1:2">
      <c r="A8" s="2" t="s">
        <v>35</v>
      </c>
      <c r="B8" s="6">
        <f>AVERAGE(B2:B7)</f>
        <v>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7F88-1175-4B02-83E2-0CF56EAF52B5}">
  <dimension ref="A1:C5"/>
  <sheetViews>
    <sheetView workbookViewId="0">
      <selection activeCell="D7" sqref="D7"/>
    </sheetView>
  </sheetViews>
  <sheetFormatPr defaultRowHeight="15"/>
  <cols>
    <col min="1" max="1" width="27.5703125" customWidth="1"/>
    <col min="2" max="2" width="27.42578125" customWidth="1"/>
    <col min="3" max="3" width="21.5703125" customWidth="1"/>
  </cols>
  <sheetData>
    <row r="1" spans="1:3" ht="29.25" customHeight="1">
      <c r="A1" s="2" t="s">
        <v>41</v>
      </c>
      <c r="B1" s="2" t="s">
        <v>36</v>
      </c>
      <c r="C1" s="2" t="s">
        <v>42</v>
      </c>
    </row>
    <row r="2" spans="1:3">
      <c r="A2" s="4" t="s">
        <v>37</v>
      </c>
      <c r="B2" s="4">
        <v>1850.5</v>
      </c>
      <c r="C2" s="4">
        <f t="shared" ref="C2:C5" si="0">ROUND(B2, 0)</f>
        <v>1851</v>
      </c>
    </row>
    <row r="3" spans="1:3">
      <c r="A3" s="4" t="s">
        <v>38</v>
      </c>
      <c r="B3" s="4">
        <v>980.9</v>
      </c>
      <c r="C3" s="4">
        <f t="shared" si="0"/>
        <v>981</v>
      </c>
    </row>
    <row r="4" spans="1:3">
      <c r="A4" s="4" t="s">
        <v>39</v>
      </c>
      <c r="B4" s="4">
        <v>99999.99</v>
      </c>
      <c r="C4" s="4">
        <f t="shared" si="0"/>
        <v>100000</v>
      </c>
    </row>
    <row r="5" spans="1:3">
      <c r="A5" s="4" t="s">
        <v>40</v>
      </c>
      <c r="B5" s="4">
        <v>2491.14</v>
      </c>
      <c r="C5" s="4">
        <f t="shared" si="0"/>
        <v>2491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5A22-47C0-4ABF-BCB5-A38A505641A6}">
  <dimension ref="A1:C5"/>
  <sheetViews>
    <sheetView workbookViewId="0">
      <selection activeCell="E6" sqref="E6"/>
    </sheetView>
  </sheetViews>
  <sheetFormatPr defaultRowHeight="15"/>
  <cols>
    <col min="1" max="1" width="19.5703125" customWidth="1"/>
    <col min="2" max="2" width="23" customWidth="1"/>
    <col min="3" max="3" width="28.140625" customWidth="1"/>
  </cols>
  <sheetData>
    <row r="1" spans="1:3">
      <c r="A1" s="2" t="s">
        <v>43</v>
      </c>
      <c r="B1" s="2" t="s">
        <v>44</v>
      </c>
      <c r="C1" s="2" t="s">
        <v>45</v>
      </c>
    </row>
    <row r="2" spans="1:3">
      <c r="A2" s="4">
        <v>2</v>
      </c>
      <c r="B2" s="4">
        <v>3</v>
      </c>
      <c r="C2" s="8">
        <f t="shared" ref="C2:C5" si="0">POWER(A2, B2)</f>
        <v>8</v>
      </c>
    </row>
    <row r="3" spans="1:3">
      <c r="A3" s="4">
        <v>5</v>
      </c>
      <c r="B3" s="4">
        <v>2</v>
      </c>
      <c r="C3" s="8">
        <f t="shared" si="0"/>
        <v>25</v>
      </c>
    </row>
    <row r="4" spans="1:3">
      <c r="A4" s="4">
        <v>10</v>
      </c>
      <c r="B4" s="4">
        <v>4</v>
      </c>
      <c r="C4" s="8">
        <f t="shared" si="0"/>
        <v>10000</v>
      </c>
    </row>
    <row r="5" spans="1:3">
      <c r="A5" s="4">
        <v>7</v>
      </c>
      <c r="B5" s="4">
        <v>0</v>
      </c>
      <c r="C5" s="8">
        <f t="shared" si="0"/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C40E-29B0-435B-A368-94F1B9390E8D}">
  <dimension ref="A1:B5"/>
  <sheetViews>
    <sheetView workbookViewId="0">
      <selection activeCell="D14" sqref="D14"/>
    </sheetView>
  </sheetViews>
  <sheetFormatPr defaultRowHeight="15"/>
  <cols>
    <col min="1" max="1" width="14.28515625" customWidth="1"/>
    <col min="2" max="2" width="22" customWidth="1"/>
  </cols>
  <sheetData>
    <row r="1" spans="1:2">
      <c r="A1" s="4" t="s">
        <v>46</v>
      </c>
      <c r="B1" s="4" t="s">
        <v>47</v>
      </c>
    </row>
    <row r="2" spans="1:2">
      <c r="A2" s="4">
        <v>25</v>
      </c>
      <c r="B2" s="8">
        <f t="shared" ref="B2:B5" si="0">SQRT(A2)</f>
        <v>5</v>
      </c>
    </row>
    <row r="3" spans="1:2">
      <c r="A3" s="4">
        <v>100</v>
      </c>
      <c r="B3" s="8">
        <f t="shared" si="0"/>
        <v>10</v>
      </c>
    </row>
    <row r="4" spans="1:2">
      <c r="A4" s="4">
        <v>144</v>
      </c>
      <c r="B4" s="8">
        <f t="shared" si="0"/>
        <v>12</v>
      </c>
    </row>
    <row r="5" spans="1:2">
      <c r="A5" s="4">
        <v>81</v>
      </c>
      <c r="B5" s="8">
        <f t="shared" si="0"/>
        <v>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FF4D-8EE1-48E2-8DF8-DF6C0EE2256A}">
  <dimension ref="A1:C4"/>
  <sheetViews>
    <sheetView workbookViewId="0">
      <selection activeCell="G23" sqref="G23"/>
    </sheetView>
  </sheetViews>
  <sheetFormatPr defaultRowHeight="15"/>
  <cols>
    <col min="1" max="1" width="22.28515625" customWidth="1"/>
    <col min="2" max="2" width="15.28515625" customWidth="1"/>
    <col min="3" max="3" width="27.140625" customWidth="1"/>
  </cols>
  <sheetData>
    <row r="1" spans="1:3">
      <c r="A1" s="4" t="s">
        <v>0</v>
      </c>
      <c r="B1" s="4" t="s">
        <v>1</v>
      </c>
      <c r="C1" s="4" t="s">
        <v>50</v>
      </c>
    </row>
    <row r="2" spans="1:3">
      <c r="A2" s="4" t="s">
        <v>6</v>
      </c>
      <c r="B2" s="4" t="s">
        <v>7</v>
      </c>
      <c r="C2" s="4" t="str">
        <f t="shared" ref="C2:C4" si="0">CONCATENATE(A2," ",B2)</f>
        <v>Ivan Pavlović</v>
      </c>
    </row>
    <row r="3" spans="1:3">
      <c r="A3" s="4" t="s">
        <v>29</v>
      </c>
      <c r="B3" s="4" t="s">
        <v>48</v>
      </c>
      <c r="C3" s="4" t="str">
        <f t="shared" si="0"/>
        <v>Marko Kovač</v>
      </c>
    </row>
    <row r="4" spans="1:3">
      <c r="A4" s="4" t="s">
        <v>30</v>
      </c>
      <c r="B4" s="4" t="s">
        <v>49</v>
      </c>
      <c r="C4" s="4" t="str">
        <f t="shared" si="0"/>
        <v>Ana Petrović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A168-B6A8-4AF6-9465-0C037947CA10}">
  <dimension ref="A1:B7"/>
  <sheetViews>
    <sheetView workbookViewId="0">
      <selection activeCell="E9" sqref="E9"/>
    </sheetView>
  </sheetViews>
  <sheetFormatPr defaultRowHeight="15"/>
  <cols>
    <col min="1" max="1" width="18.5703125" customWidth="1"/>
    <col min="2" max="2" width="20" customWidth="1"/>
  </cols>
  <sheetData>
    <row r="1" spans="1:2" ht="30.75" customHeight="1">
      <c r="A1" s="2" t="s">
        <v>51</v>
      </c>
      <c r="B1" s="2" t="s">
        <v>54</v>
      </c>
    </row>
    <row r="2" spans="1:2">
      <c r="A2" s="4" t="s">
        <v>37</v>
      </c>
      <c r="B2" s="4" t="str">
        <f t="shared" ref="B2:B7" si="0">UPPER(A2)</f>
        <v>IVAN PAVLOVIC</v>
      </c>
    </row>
    <row r="3" spans="1:2">
      <c r="A3" s="4" t="s">
        <v>52</v>
      </c>
      <c r="B3" s="4" t="str">
        <f t="shared" si="0"/>
        <v>MARKO KOVAČ</v>
      </c>
    </row>
    <row r="4" spans="1:2">
      <c r="A4" s="4" t="s">
        <v>53</v>
      </c>
      <c r="B4" s="4" t="str">
        <f t="shared" si="0"/>
        <v>ANA PETROVIĆ</v>
      </c>
    </row>
    <row r="5" spans="1:2">
      <c r="A5" s="4" t="s">
        <v>55</v>
      </c>
      <c r="B5" t="str">
        <f t="shared" si="0"/>
        <v>PETAR PAN</v>
      </c>
    </row>
    <row r="6" spans="1:2">
      <c r="A6" s="4" t="s">
        <v>56</v>
      </c>
      <c r="B6" t="str">
        <f t="shared" si="0"/>
        <v>ACA SMRKAS</v>
      </c>
    </row>
    <row r="7" spans="1:2">
      <c r="A7" s="4" t="s">
        <v>57</v>
      </c>
      <c r="B7" t="str">
        <f t="shared" si="0"/>
        <v>ZORAN AVRAMOVIC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F31B-2EA4-4AFE-BE85-70AAA87AC40A}">
  <dimension ref="A1:B6"/>
  <sheetViews>
    <sheetView workbookViewId="0"/>
  </sheetViews>
  <sheetFormatPr defaultRowHeight="15"/>
  <cols>
    <col min="1" max="1" width="20" customWidth="1"/>
    <col min="2" max="2" width="21.5703125" customWidth="1"/>
  </cols>
  <sheetData>
    <row r="1" spans="1:2" ht="30.75" customHeight="1">
      <c r="A1" s="2" t="s">
        <v>51</v>
      </c>
      <c r="B1" s="2" t="s">
        <v>60</v>
      </c>
    </row>
    <row r="2" spans="1:2">
      <c r="A2" s="4" t="s">
        <v>61</v>
      </c>
      <c r="B2" s="4" t="str">
        <f t="shared" ref="B2:B6" si="0">LOWER(A2)</f>
        <v>ivan pavlovic</v>
      </c>
    </row>
    <row r="3" spans="1:2">
      <c r="A3" s="4" t="s">
        <v>58</v>
      </c>
      <c r="B3" s="4" t="str">
        <f t="shared" si="0"/>
        <v>marko kovač</v>
      </c>
    </row>
    <row r="4" spans="1:2">
      <c r="A4" s="4" t="s">
        <v>59</v>
      </c>
      <c r="B4" s="4" t="str">
        <f t="shared" si="0"/>
        <v>ana petrović</v>
      </c>
    </row>
    <row r="5" spans="1:2">
      <c r="A5" s="4" t="s">
        <v>62</v>
      </c>
      <c r="B5" t="str">
        <f t="shared" si="0"/>
        <v>sveti petar</v>
      </c>
    </row>
    <row r="6" spans="1:2">
      <c r="A6" s="4" t="s">
        <v>63</v>
      </c>
      <c r="B6" t="str">
        <f t="shared" si="0"/>
        <v>kim jong un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D6FE-9B09-49C1-9213-7520485DE2BE}">
  <dimension ref="A1:A2"/>
  <sheetViews>
    <sheetView workbookViewId="0">
      <selection activeCell="B11" sqref="B11"/>
    </sheetView>
  </sheetViews>
  <sheetFormatPr defaultRowHeight="15"/>
  <cols>
    <col min="1" max="1" width="41" customWidth="1"/>
  </cols>
  <sheetData>
    <row r="1" spans="1:1" ht="29.25" customHeight="1">
      <c r="A1" s="2" t="s">
        <v>64</v>
      </c>
    </row>
    <row r="2" spans="1:1">
      <c r="A2" s="9">
        <f ca="1">NOW()</f>
        <v>45836.942882986114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D8C5-6925-48BF-8884-931A277D2CEA}">
  <dimension ref="A1:C5"/>
  <sheetViews>
    <sheetView workbookViewId="0">
      <selection activeCell="H11" sqref="H11"/>
    </sheetView>
  </sheetViews>
  <sheetFormatPr defaultRowHeight="15"/>
  <cols>
    <col min="1" max="1" width="18.140625" customWidth="1"/>
    <col min="2" max="2" width="18.28515625" customWidth="1"/>
    <col min="3" max="3" width="27.28515625" customWidth="1"/>
  </cols>
  <sheetData>
    <row r="1" spans="1:3">
      <c r="A1" s="4" t="s">
        <v>0</v>
      </c>
      <c r="B1" s="4" t="s">
        <v>66</v>
      </c>
      <c r="C1" s="4" t="s">
        <v>65</v>
      </c>
    </row>
    <row r="2" spans="1:3">
      <c r="A2" s="4" t="s">
        <v>6</v>
      </c>
      <c r="B2" s="4">
        <v>7.5</v>
      </c>
      <c r="C2" s="4" t="str">
        <f t="shared" ref="C2:C5" si="0">IF(B2&gt;=6,"Da","Ne")</f>
        <v>Da</v>
      </c>
    </row>
    <row r="3" spans="1:3">
      <c r="A3" s="4" t="s">
        <v>29</v>
      </c>
      <c r="B3" s="4">
        <v>5.9</v>
      </c>
      <c r="C3" s="4" t="str">
        <f t="shared" si="0"/>
        <v>Ne</v>
      </c>
    </row>
    <row r="4" spans="1:3">
      <c r="A4" s="4" t="s">
        <v>30</v>
      </c>
      <c r="B4" s="4">
        <v>9.1999999999999993</v>
      </c>
      <c r="C4" s="4" t="str">
        <f t="shared" si="0"/>
        <v>Da</v>
      </c>
    </row>
    <row r="5" spans="1:3">
      <c r="A5" s="4" t="s">
        <v>33</v>
      </c>
      <c r="B5" s="4">
        <v>6</v>
      </c>
      <c r="C5" s="4" t="str">
        <f t="shared" si="0"/>
        <v>Da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9574-A195-46D9-B04F-D8FE0F326EEE}">
  <dimension ref="A1:G5"/>
  <sheetViews>
    <sheetView workbookViewId="0">
      <selection activeCell="J30" sqref="J30"/>
    </sheetView>
  </sheetViews>
  <sheetFormatPr defaultRowHeight="15"/>
  <cols>
    <col min="1" max="1" width="19.7109375" customWidth="1"/>
    <col min="2" max="2" width="21.85546875" customWidth="1"/>
    <col min="3" max="3" width="21.42578125" customWidth="1"/>
    <col min="4" max="4" width="15.42578125" customWidth="1"/>
    <col min="5" max="5" width="14" customWidth="1"/>
    <col min="6" max="6" width="11.28515625" customWidth="1"/>
    <col min="7" max="7" width="17.85546875" customWidth="1"/>
  </cols>
  <sheetData>
    <row r="1" spans="1:7" ht="30">
      <c r="A1" s="5" t="s">
        <v>67</v>
      </c>
      <c r="B1" s="5" t="s">
        <v>70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</row>
    <row r="2" spans="1:7">
      <c r="A2" s="3" t="s">
        <v>68</v>
      </c>
      <c r="B2" s="3">
        <v>1850.5</v>
      </c>
      <c r="C2" s="3">
        <f>ROUND(B2,0)</f>
        <v>1851</v>
      </c>
      <c r="D2" s="3">
        <f>POWER(C2,2)</f>
        <v>3426201</v>
      </c>
      <c r="E2" s="3">
        <f>SQRT(B2)</f>
        <v>43.017438324474881</v>
      </c>
      <c r="F2" s="3">
        <f>IF(B2&gt;2000, 520, 0)</f>
        <v>0</v>
      </c>
      <c r="G2" s="3">
        <f>ROUNDUP(B2+F2, 0)</f>
        <v>1851</v>
      </c>
    </row>
    <row r="3" spans="1:7">
      <c r="A3" s="3" t="s">
        <v>69</v>
      </c>
      <c r="B3" s="3">
        <v>980.9</v>
      </c>
      <c r="C3" s="3">
        <f>ROUND(B3,0)</f>
        <v>981</v>
      </c>
      <c r="D3" s="3">
        <f>POWER(C3, 2)</f>
        <v>962361</v>
      </c>
      <c r="E3" s="3">
        <f>SQRT(B3)</f>
        <v>31.319323108905149</v>
      </c>
      <c r="F3" s="3">
        <f>IF(B3&gt;2000, 520, 0)</f>
        <v>0</v>
      </c>
      <c r="G3" s="3">
        <f t="shared" ref="G3:G5" si="0">ROUNDUP(B3+F3, 0)</f>
        <v>981</v>
      </c>
    </row>
    <row r="4" spans="1:7">
      <c r="A4" s="3" t="s">
        <v>72</v>
      </c>
      <c r="B4" s="3">
        <v>99999.99</v>
      </c>
      <c r="C4" s="3">
        <f>ROUND(B4, 0)</f>
        <v>100000</v>
      </c>
      <c r="D4" s="3">
        <f>POWER(C4, 2)</f>
        <v>10000000000</v>
      </c>
      <c r="E4" s="3">
        <f>SQRT(B4)</f>
        <v>316.22775020544924</v>
      </c>
      <c r="F4" s="3">
        <f>IF(B4&gt;2000, 520, 0)</f>
        <v>520</v>
      </c>
      <c r="G4" s="3">
        <f t="shared" si="0"/>
        <v>100520</v>
      </c>
    </row>
    <row r="5" spans="1:7">
      <c r="A5" s="3" t="s">
        <v>71</v>
      </c>
      <c r="B5" s="3">
        <v>2491.14</v>
      </c>
      <c r="C5" s="3">
        <f>ROUND(B5, 0)</f>
        <v>2491</v>
      </c>
      <c r="D5" s="3">
        <f>POWER(C5, 2)</f>
        <v>6205081</v>
      </c>
      <c r="E5" s="3">
        <f>SQRT(B5)</f>
        <v>49.911321360989831</v>
      </c>
      <c r="F5" s="3">
        <f>IF(B5&gt;2000, 520, 0)</f>
        <v>520</v>
      </c>
      <c r="G5" s="3">
        <f t="shared" si="0"/>
        <v>3012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Uvod</vt:lpstr>
      <vt:lpstr>SUM funkcija</vt:lpstr>
      <vt:lpstr>AVERAGE funkcija</vt:lpstr>
      <vt:lpstr>ROUND funkcija</vt:lpstr>
      <vt:lpstr>POWER funkcija</vt:lpstr>
      <vt:lpstr>SQRT funkcija</vt:lpstr>
      <vt:lpstr>CONCATENATE funkcija</vt:lpstr>
      <vt:lpstr>UPPER funkcija</vt:lpstr>
      <vt:lpstr>LOWER funkcija</vt:lpstr>
      <vt:lpstr>NOW funkcija</vt:lpstr>
      <vt:lpstr>IF funkcija</vt:lpstr>
      <vt:lpstr>Finalni zadatak sa 5 funkcija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Pavlovic</dc:creator>
  <cp:lastModifiedBy>Ivan Pavlovic</cp:lastModifiedBy>
  <dcterms:created xsi:type="dcterms:W3CDTF">2025-06-26T17:10:03Z</dcterms:created>
  <dcterms:modified xsi:type="dcterms:W3CDTF">2025-06-28T20:37:55Z</dcterms:modified>
</cp:coreProperties>
</file>